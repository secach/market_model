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arry\market_model\data\"/>
    </mc:Choice>
  </mc:AlternateContent>
  <xr:revisionPtr revIDLastSave="0" documentId="13_ncr:1_{5E9B3A5E-DB02-43FE-96B5-8C64A51C88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G57" i="1" s="1"/>
  <c r="C52" i="1"/>
  <c r="G52" i="1" s="1"/>
  <c r="G47" i="1"/>
  <c r="C47" i="1"/>
  <c r="G42" i="1"/>
  <c r="C42" i="1"/>
  <c r="G37" i="1"/>
  <c r="C37" i="1"/>
  <c r="G32" i="1"/>
  <c r="G27" i="1"/>
  <c r="C32" i="1"/>
  <c r="C27" i="1"/>
  <c r="C22" i="1"/>
  <c r="G22" i="1" s="1"/>
  <c r="C12" i="1"/>
  <c r="G12" i="1" s="1"/>
  <c r="G17" i="1"/>
  <c r="C17" i="1"/>
  <c r="C7" i="1"/>
  <c r="G7" i="1" s="1"/>
  <c r="G2" i="1"/>
</calcChain>
</file>

<file path=xl/sharedStrings.xml><?xml version="1.0" encoding="utf-8"?>
<sst xmlns="http://schemas.openxmlformats.org/spreadsheetml/2006/main" count="55" uniqueCount="55">
  <si>
    <t>date</t>
  </si>
  <si>
    <t>Pred ret</t>
  </si>
  <si>
    <t>Pred price</t>
  </si>
  <si>
    <t>AR1</t>
  </si>
  <si>
    <t>signal</t>
  </si>
  <si>
    <t>Predicted return: 0.002682919930058835</t>
  </si>
  <si>
    <t>Predicted price: 4367.596557752542</t>
  </si>
  <si>
    <t>AR(1) signal: 0.0029233136478970865</t>
  </si>
  <si>
    <t>Weighted stock signal: 0.0025226574515000003</t>
  </si>
  <si>
    <t>Predicted return: 0.003635611617296853</t>
  </si>
  <si>
    <t>Predicted price: 4372.519196420845</t>
  </si>
  <si>
    <t>AR(1) signal: 0.0036344129332421342</t>
  </si>
  <si>
    <t>Weighted stock signal: 0.003636410739999999</t>
  </si>
  <si>
    <t>Actual</t>
  </si>
  <si>
    <t>Predicted return: 0.00176729890002082</t>
  </si>
  <si>
    <t>Predicted price: 4234.4904077963665</t>
  </si>
  <si>
    <t>AR(1) signal: 0.0022443452896234797</t>
  </si>
  <si>
    <t>Weighted stock signal: 0.0020016489259999997</t>
  </si>
  <si>
    <t>AR(1) signal: -0.0014867549685643397</t>
  </si>
  <si>
    <t>Predicted return: -0.0004865583312257358</t>
  </si>
  <si>
    <t>Predicted price: 4185.932308305577</t>
  </si>
  <si>
    <t>Weighted stock signal: 0.0001802394270000002</t>
  </si>
  <si>
    <t>AR(1) signal: 0.00026790700623241607</t>
  </si>
  <si>
    <t>Predicted return: -0.00044420501290703344</t>
  </si>
  <si>
    <t>Predicted price: 4209.949088442538</t>
  </si>
  <si>
    <t>Weighted stock signal: -0.0009189463589999998</t>
  </si>
  <si>
    <t>Predicted return: -0.0007600580247104006</t>
  </si>
  <si>
    <t>Predicted price: 4143.018670219687</t>
  </si>
  <si>
    <t>AR(1) signal: 4.115487822399859e-05</t>
  </si>
  <si>
    <t>Weighted stock signal: -0.00129419996</t>
  </si>
  <si>
    <t>Predicted return: -0.000973501277636061</t>
  </si>
  <si>
    <t>Predicted price: 4173.513120532573</t>
  </si>
  <si>
    <t>AR(1) signal: -0.00012010277909015232</t>
  </si>
  <si>
    <t>Weighted stock signal: -0.0015424336100000003</t>
  </si>
  <si>
    <t>13/3/2026</t>
  </si>
  <si>
    <t>16/3/2026</t>
  </si>
  <si>
    <t>Predicted return: -0.000618348490047453</t>
  </si>
  <si>
    <t>Predicted price: 4174.457133623132</t>
  </si>
  <si>
    <t>AR(1) signal: 0.00028372293413136756</t>
  </si>
  <si>
    <t>Weighted stock signal: -0.0012197294395</t>
  </si>
  <si>
    <t>Predicted return: -0.00033740183263246805</t>
  </si>
  <si>
    <t>Predicted price: 4241.048579473093</t>
  </si>
  <si>
    <t>AR(1) signal: 0.0007796699359188298</t>
  </si>
  <si>
    <t>Weighted stock signal: -0.001082116345</t>
  </si>
  <si>
    <t>17/03/2026</t>
  </si>
  <si>
    <t>18/03/26</t>
  </si>
  <si>
    <t>Predicted return: 0.0002643191592149955</t>
  </si>
  <si>
    <t>Predicted price: 4296.245279863936</t>
  </si>
  <si>
    <t>AR(1) signal: 0.002057637055537489</t>
  </si>
  <si>
    <t>Weighted stock signal: -0.0009312261050000001</t>
  </si>
  <si>
    <t>19/03/26</t>
  </si>
  <si>
    <t>Predicted return: 8.308632920872041e-05</t>
  </si>
  <si>
    <t>Predicted price: 4305.387689139833</t>
  </si>
  <si>
    <t>AR(1) signal: 0.0015330001220218007</t>
  </si>
  <si>
    <t>Weighted stock signal: -0.0008835228659999999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</si>
</sst>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171450</xdr:rowOff>
    </xdr:from>
    <xdr:to>
      <xdr:col>1</xdr:col>
      <xdr:colOff>2867025</xdr:colOff>
      <xdr:row>4</xdr:row>
      <xdr:rowOff>85819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99256-7EFD-4353-1D28-C5F3CAA0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71450"/>
          <a:ext cx="2867025" cy="676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40" workbookViewId="0">
      <selection activeCell="E69" sqref="E69"/>
    </sheetView>
  </sheetViews>
  <sheetFormatPr defaultRowHeight="15" x14ac:dyDescent="0.25"/>
  <cols>
    <col min="1" max="1" width="10.7109375" bestFit="1" customWidth="1"/>
    <col min="2" max="2" width="44.7109375" bestFit="1" customWidth="1"/>
    <col min="3" max="3" width="18.85546875" bestFit="1" customWidth="1"/>
    <col min="5" max="5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</row>
    <row r="2" spans="1:7" x14ac:dyDescent="0.25">
      <c r="A2" s="1">
        <v>46115</v>
      </c>
      <c r="B2">
        <v>6.5646000000000003E-3</v>
      </c>
      <c r="C2">
        <v>4346.8500000000004</v>
      </c>
      <c r="D2">
        <v>1.12E-2</v>
      </c>
      <c r="E2">
        <v>3.47E-3</v>
      </c>
      <c r="F2">
        <v>4309.68</v>
      </c>
      <c r="G2">
        <f>(C2-F2)/C2*100</f>
        <v>0.85510197039235458</v>
      </c>
    </row>
    <row r="3" spans="1:7" x14ac:dyDescent="0.25">
      <c r="A3" s="1"/>
    </row>
    <row r="4" spans="1:7" x14ac:dyDescent="0.25">
      <c r="A4" s="1"/>
    </row>
    <row r="5" spans="1:7" x14ac:dyDescent="0.25">
      <c r="A5" s="1"/>
    </row>
    <row r="6" spans="1:7" x14ac:dyDescent="0.25">
      <c r="A6" s="1">
        <v>46145</v>
      </c>
      <c r="B6" t="s">
        <v>5</v>
      </c>
    </row>
    <row r="7" spans="1:7" x14ac:dyDescent="0.25">
      <c r="A7" s="1"/>
      <c r="B7" t="s">
        <v>6</v>
      </c>
      <c r="C7" t="str">
        <f>RIGHT(B7,FIND(":",B7)+1)</f>
        <v>4367.596557752542</v>
      </c>
      <c r="F7">
        <v>4356.68</v>
      </c>
      <c r="G7">
        <f>(C7-F7)/C7*100</f>
        <v>0.24994427960986915</v>
      </c>
    </row>
    <row r="8" spans="1:7" x14ac:dyDescent="0.25">
      <c r="A8" s="1"/>
      <c r="B8" t="s">
        <v>7</v>
      </c>
    </row>
    <row r="9" spans="1:7" x14ac:dyDescent="0.25">
      <c r="A9" s="1"/>
      <c r="B9" t="s">
        <v>8</v>
      </c>
    </row>
    <row r="10" spans="1:7" x14ac:dyDescent="0.25">
      <c r="A10" s="1"/>
    </row>
    <row r="11" spans="1:7" x14ac:dyDescent="0.25">
      <c r="A11" s="1">
        <v>46176</v>
      </c>
      <c r="B11" t="s">
        <v>9</v>
      </c>
    </row>
    <row r="12" spans="1:7" x14ac:dyDescent="0.25">
      <c r="A12" s="1"/>
      <c r="B12" t="s">
        <v>10</v>
      </c>
      <c r="C12" t="str">
        <f>RIGHT(B12,FIND(":",B12)+2)</f>
        <v xml:space="preserve"> 4372.519196420845</v>
      </c>
      <c r="F12">
        <v>4227.0200000000004</v>
      </c>
      <c r="G12">
        <f>(C12-F12)/C12*100</f>
        <v>3.3275827934600919</v>
      </c>
    </row>
    <row r="13" spans="1:7" x14ac:dyDescent="0.25">
      <c r="A13" s="1"/>
      <c r="B13" t="s">
        <v>11</v>
      </c>
    </row>
    <row r="14" spans="1:7" x14ac:dyDescent="0.25">
      <c r="A14" s="1"/>
      <c r="B14" t="s">
        <v>12</v>
      </c>
    </row>
    <row r="15" spans="1:7" x14ac:dyDescent="0.25">
      <c r="A15" s="1"/>
    </row>
    <row r="16" spans="1:7" x14ac:dyDescent="0.25">
      <c r="A16" s="1">
        <v>46268</v>
      </c>
      <c r="B16" t="s">
        <v>14</v>
      </c>
    </row>
    <row r="17" spans="1:7" x14ac:dyDescent="0.25">
      <c r="A17" s="1"/>
      <c r="B17" t="s">
        <v>15</v>
      </c>
      <c r="C17" t="str">
        <f>RIGHT(B17,FIND(":",B17)+2)</f>
        <v>4234.4904077963665</v>
      </c>
      <c r="F17">
        <v>4187.97</v>
      </c>
      <c r="G17">
        <f>(C17-F17)/C17*100</f>
        <v>1.0986069943790295</v>
      </c>
    </row>
    <row r="18" spans="1:7" x14ac:dyDescent="0.25">
      <c r="A18" s="1"/>
      <c r="B18" t="s">
        <v>16</v>
      </c>
    </row>
    <row r="19" spans="1:7" x14ac:dyDescent="0.25">
      <c r="A19" s="1"/>
      <c r="B19" t="s">
        <v>17</v>
      </c>
    </row>
    <row r="20" spans="1:7" x14ac:dyDescent="0.25">
      <c r="A20" s="1"/>
    </row>
    <row r="21" spans="1:7" x14ac:dyDescent="0.25">
      <c r="A21" s="1">
        <v>46298</v>
      </c>
      <c r="B21" t="s">
        <v>19</v>
      </c>
    </row>
    <row r="22" spans="1:7" x14ac:dyDescent="0.25">
      <c r="A22" s="1"/>
      <c r="B22" t="s">
        <v>20</v>
      </c>
      <c r="C22" t="str">
        <f>RIGHT(B22,FIND(":",B22)+2)</f>
        <v xml:space="preserve"> 4185.932308305577</v>
      </c>
      <c r="F22">
        <v>4211.82</v>
      </c>
      <c r="G22">
        <f>(C22-F22)/C22*100</f>
        <v>-0.61844506283736711</v>
      </c>
    </row>
    <row r="23" spans="1:7" x14ac:dyDescent="0.25">
      <c r="A23" s="1"/>
      <c r="B23" t="s">
        <v>18</v>
      </c>
    </row>
    <row r="24" spans="1:7" x14ac:dyDescent="0.25">
      <c r="A24" s="1"/>
      <c r="B24" t="s">
        <v>21</v>
      </c>
    </row>
    <row r="25" spans="1:7" x14ac:dyDescent="0.25">
      <c r="A25" s="1"/>
    </row>
    <row r="26" spans="1:7" x14ac:dyDescent="0.25">
      <c r="A26" s="1">
        <v>46329</v>
      </c>
      <c r="B26" t="s">
        <v>23</v>
      </c>
    </row>
    <row r="27" spans="1:7" x14ac:dyDescent="0.25">
      <c r="A27" s="1"/>
      <c r="B27" t="s">
        <v>24</v>
      </c>
      <c r="C27" t="str">
        <f>RIGHT(B27,FIND(":",B27)+2)</f>
        <v xml:space="preserve"> 4209.949088442538</v>
      </c>
      <c r="F27">
        <v>4146.17</v>
      </c>
      <c r="G27">
        <f>(C27-F27)/C27*100</f>
        <v>1.5149610387836161</v>
      </c>
    </row>
    <row r="28" spans="1:7" x14ac:dyDescent="0.25">
      <c r="A28" s="1"/>
      <c r="B28" t="s">
        <v>22</v>
      </c>
    </row>
    <row r="29" spans="1:7" x14ac:dyDescent="0.25">
      <c r="A29" s="1"/>
      <c r="B29" t="s">
        <v>25</v>
      </c>
    </row>
    <row r="30" spans="1:7" x14ac:dyDescent="0.25">
      <c r="A30" s="1"/>
    </row>
    <row r="31" spans="1:7" x14ac:dyDescent="0.25">
      <c r="A31" s="1">
        <v>46359</v>
      </c>
      <c r="B31" t="s">
        <v>26</v>
      </c>
    </row>
    <row r="32" spans="1:7" x14ac:dyDescent="0.25">
      <c r="A32" s="1"/>
      <c r="B32" t="s">
        <v>27</v>
      </c>
      <c r="C32" t="str">
        <f>RIGHT(B32,FIND(":",B32)+2)</f>
        <v xml:space="preserve"> 4143.018670219687</v>
      </c>
      <c r="F32">
        <v>4177.58</v>
      </c>
      <c r="G32">
        <f>(C32-F32)/C32*100</f>
        <v>-0.83420646951821753</v>
      </c>
    </row>
    <row r="33" spans="1:7" x14ac:dyDescent="0.25">
      <c r="A33" s="1"/>
      <c r="B33" t="s">
        <v>28</v>
      </c>
    </row>
    <row r="34" spans="1:7" x14ac:dyDescent="0.25">
      <c r="A34" s="1"/>
      <c r="B34" t="s">
        <v>29</v>
      </c>
    </row>
    <row r="36" spans="1:7" x14ac:dyDescent="0.25">
      <c r="A36" s="1" t="s">
        <v>34</v>
      </c>
      <c r="B36" t="s">
        <v>30</v>
      </c>
    </row>
    <row r="37" spans="1:7" x14ac:dyDescent="0.25">
      <c r="B37" t="s">
        <v>31</v>
      </c>
      <c r="C37" t="str">
        <f>RIGHT(B37,FIND(":",B37)+2)</f>
        <v xml:space="preserve"> 4173.513120532573</v>
      </c>
      <c r="F37">
        <v>4177.04</v>
      </c>
      <c r="G37">
        <f>(C37-F37)/C37*100</f>
        <v>-8.4506250862827231E-2</v>
      </c>
    </row>
    <row r="38" spans="1:7" x14ac:dyDescent="0.25">
      <c r="B38" t="s">
        <v>32</v>
      </c>
    </row>
    <row r="39" spans="1:7" x14ac:dyDescent="0.25">
      <c r="B39" t="s">
        <v>33</v>
      </c>
    </row>
    <row r="41" spans="1:7" x14ac:dyDescent="0.25">
      <c r="A41" t="s">
        <v>35</v>
      </c>
      <c r="B41" t="s">
        <v>36</v>
      </c>
    </row>
    <row r="42" spans="1:7" x14ac:dyDescent="0.25">
      <c r="B42" t="s">
        <v>37</v>
      </c>
      <c r="C42" t="str">
        <f>RIGHT(B42,FIND(":",B42)+2)</f>
        <v xml:space="preserve"> 4174.457133623132</v>
      </c>
      <c r="F42">
        <v>4242.4799999999996</v>
      </c>
      <c r="G42">
        <f>(C42-F42)/C42*100</f>
        <v>-1.6295020933136377</v>
      </c>
    </row>
    <row r="43" spans="1:7" x14ac:dyDescent="0.25">
      <c r="B43" t="s">
        <v>38</v>
      </c>
    </row>
    <row r="44" spans="1:7" x14ac:dyDescent="0.25">
      <c r="B44" t="s">
        <v>39</v>
      </c>
    </row>
    <row r="46" spans="1:7" x14ac:dyDescent="0.25">
      <c r="A46" t="s">
        <v>44</v>
      </c>
      <c r="B46" t="s">
        <v>40</v>
      </c>
    </row>
    <row r="47" spans="1:7" x14ac:dyDescent="0.25">
      <c r="B47" t="s">
        <v>41</v>
      </c>
      <c r="C47" t="str">
        <f>RIGHT(B47,FIND(":",B47)+2)</f>
        <v xml:space="preserve"> 4241.048579473093</v>
      </c>
      <c r="F47">
        <v>4295.1099999999997</v>
      </c>
      <c r="G47">
        <f>(C47-F47)/C47*100</f>
        <v>-1.2747182569086724</v>
      </c>
    </row>
    <row r="48" spans="1:7" x14ac:dyDescent="0.25">
      <c r="B48" t="s">
        <v>42</v>
      </c>
    </row>
    <row r="49" spans="1:7" x14ac:dyDescent="0.25">
      <c r="B49" t="s">
        <v>43</v>
      </c>
    </row>
    <row r="51" spans="1:7" x14ac:dyDescent="0.25">
      <c r="A51" t="s">
        <v>45</v>
      </c>
      <c r="B51" t="s">
        <v>46</v>
      </c>
    </row>
    <row r="52" spans="1:7" x14ac:dyDescent="0.25">
      <c r="B52" t="s">
        <v>47</v>
      </c>
      <c r="C52" t="str">
        <f>RIGHT(B52,FIND(":",B52)+2)</f>
        <v xml:space="preserve"> 4296.245279863936</v>
      </c>
      <c r="F52">
        <v>4305.03</v>
      </c>
      <c r="G52">
        <f>(C52-F52)/C52*100</f>
        <v>-0.20447436223539578</v>
      </c>
    </row>
    <row r="53" spans="1:7" x14ac:dyDescent="0.25">
      <c r="B53" t="s">
        <v>48</v>
      </c>
    </row>
    <row r="54" spans="1:7" x14ac:dyDescent="0.25">
      <c r="B54" t="s">
        <v>49</v>
      </c>
    </row>
    <row r="56" spans="1:7" x14ac:dyDescent="0.25">
      <c r="A56" t="s">
        <v>50</v>
      </c>
      <c r="B56" t="s">
        <v>51</v>
      </c>
    </row>
    <row r="57" spans="1:7" x14ac:dyDescent="0.25">
      <c r="B57" t="s">
        <v>52</v>
      </c>
      <c r="C57" t="str">
        <f>RIGHT(B57,FIND(":",B57)+2)</f>
        <v xml:space="preserve"> 4305.387689139833</v>
      </c>
      <c r="G57">
        <f>(C57-F57)/C57*100</f>
        <v>100</v>
      </c>
    </row>
    <row r="58" spans="1:7" x14ac:dyDescent="0.25">
      <c r="B58" t="s">
        <v>53</v>
      </c>
    </row>
    <row r="59" spans="1:7" x14ac:dyDescent="0.25">
      <c r="B59" t="s">
        <v>54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</dc:creator>
  <cp:lastModifiedBy>Idan</cp:lastModifiedBy>
  <dcterms:created xsi:type="dcterms:W3CDTF">2015-06-05T18:17:20Z</dcterms:created>
  <dcterms:modified xsi:type="dcterms:W3CDTF">2026-03-19T19:41:32Z</dcterms:modified>
</cp:coreProperties>
</file>